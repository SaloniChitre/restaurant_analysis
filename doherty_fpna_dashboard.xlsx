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tribution Margin" sheetId="2" state="visible" r:id="rId2"/>
    <sheet name="Labor % Revenue" sheetId="3" state="visible" r:id="rId3"/>
    <sheet name="New Store Performance" sheetId="4" state="visible" r:id="rId4"/>
    <sheet name="Revenue Trend" sheetId="5" state="visible" r:id="rId5"/>
    <sheet name="Revenue Foreca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sz val="14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Margin % by Dish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'Contribution Margin'!E1</f>
            </strRef>
          </tx>
          <spPr>
            <a:ln>
              <a:prstDash val="solid"/>
            </a:ln>
          </spPr>
          <cat>
            <numRef>
              <f>'Contribution Margin'!$A$2:$A$9</f>
            </numRef>
          </cat>
          <val>
            <numRef>
              <f>'Contribution Margin'!$E$2:$E$9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Margin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Revenue by Location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'New Store Performance'!E1</f>
            </strRef>
          </tx>
          <spPr>
            <a:ln>
              <a:prstDash val="solid"/>
            </a:ln>
          </spPr>
          <cat>
            <numRef>
              <f>'New Store Performance'!$B$2:$B$9</f>
            </numRef>
          </cat>
          <val>
            <numRef>
              <f>'New Store Performance'!$E$2:$E$9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Revenue — Location 1</a:t>
            </a:r>
          </a:p>
        </rich>
      </tx>
    </title>
    <plotArea>
      <lineChart>
        <grouping val="standard"/>
        <ser>
          <idx val="0"/>
          <order val="0"/>
          <tx>
            <strRef>
              <f>'Revenue Trend'!C1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'Revenue Trend'!$B$2:$B$19</f>
            </numRef>
          </cat>
          <val>
            <numRef>
              <f>'Revenue Trend'!$C$2:$C$19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Doherty Restaurant FP&amp;A Dashboard — Summary</t>
        </is>
      </c>
    </row>
    <row r="3">
      <c r="A3" s="2" t="inlineStr">
        <is>
          <t>Avg Contribution Margin %</t>
        </is>
      </c>
      <c r="B3">
        <f>AVERAGE('Contribution Margin'!E2:E9)</f>
        <v/>
      </c>
    </row>
    <row r="4">
      <c r="A4" s="2" t="inlineStr">
        <is>
          <t>Highest Margin Dish</t>
        </is>
      </c>
      <c r="B4">
        <f>INDEX('Contribution Margin'!A2:A9, MATCH(MAX('Contribution Margin'!E2:E9), 'Contribution Margin'!E2:E9, 0))</f>
        <v/>
      </c>
    </row>
    <row r="5">
      <c r="A5" s="2" t="inlineStr">
        <is>
          <t>Total Locations</t>
        </is>
      </c>
      <c r="B5">
        <f>COUNTA('New Store Performance'!A2:A9)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dish_name</t>
        </is>
      </c>
      <c r="B1" s="3" t="inlineStr">
        <is>
          <t>menu_price</t>
        </is>
      </c>
      <c r="C1" s="3" t="inlineStr">
        <is>
          <t>ingredient_cost</t>
        </is>
      </c>
      <c r="D1" s="3" t="inlineStr">
        <is>
          <t>contribution_margin</t>
        </is>
      </c>
      <c r="E1" s="3" t="inlineStr">
        <is>
          <t>margin_pct</t>
        </is>
      </c>
    </row>
    <row r="2">
      <c r="A2" s="4" t="inlineStr">
        <is>
          <t>Caesar Salad</t>
        </is>
      </c>
      <c r="B2" s="4" t="n">
        <v>11.99</v>
      </c>
      <c r="C2" s="4" t="n">
        <v>0.275</v>
      </c>
      <c r="D2" s="4" t="n">
        <v>11.71</v>
      </c>
      <c r="E2" s="4" t="n">
        <v>97.70999999999999</v>
      </c>
    </row>
    <row r="3">
      <c r="A3" s="4" t="inlineStr">
        <is>
          <t>French Fries</t>
        </is>
      </c>
      <c r="B3" s="4" t="n">
        <v>5.99</v>
      </c>
      <c r="C3" s="4" t="n">
        <v>0.3</v>
      </c>
      <c r="D3" s="4" t="n">
        <v>5.69</v>
      </c>
      <c r="E3" s="4" t="n">
        <v>94.98999999999999</v>
      </c>
    </row>
    <row r="4">
      <c r="A4" s="4" t="inlineStr">
        <is>
          <t>Classic Cheeseburger</t>
        </is>
      </c>
      <c r="B4" s="4" t="n">
        <v>13.99</v>
      </c>
      <c r="C4" s="4" t="n">
        <v>1.33</v>
      </c>
      <c r="D4" s="4" t="n">
        <v>12.66</v>
      </c>
      <c r="E4" s="4" t="n">
        <v>90.48999999999999</v>
      </c>
    </row>
    <row r="5">
      <c r="A5" s="4" t="inlineStr">
        <is>
          <t>Grilled Chicken Sandwich</t>
        </is>
      </c>
      <c r="B5" s="4" t="n">
        <v>14.99</v>
      </c>
      <c r="C5" s="4" t="n">
        <v>1.47</v>
      </c>
      <c r="D5" s="4" t="n">
        <v>13.52</v>
      </c>
      <c r="E5" s="4" t="n">
        <v>90.19</v>
      </c>
    </row>
    <row r="6">
      <c r="A6" s="4" t="inlineStr">
        <is>
          <t>Fish Tacos</t>
        </is>
      </c>
      <c r="B6" s="4" t="n">
        <v>16.99</v>
      </c>
      <c r="C6" s="4" t="n">
        <v>2.16</v>
      </c>
      <c r="D6" s="4" t="n">
        <v>14.83</v>
      </c>
      <c r="E6" s="4" t="n">
        <v>87.29000000000001</v>
      </c>
    </row>
    <row r="7">
      <c r="A7" s="4" t="inlineStr">
        <is>
          <t>Chocolate Lava Cake</t>
        </is>
      </c>
      <c r="B7" s="4" t="n">
        <v>8.99</v>
      </c>
      <c r="C7" s="4" t="n">
        <v>1.2</v>
      </c>
      <c r="D7" s="4" t="n">
        <v>7.79</v>
      </c>
      <c r="E7" s="4" t="n">
        <v>86.65000000000001</v>
      </c>
    </row>
    <row r="8">
      <c r="A8" s="4" t="inlineStr">
        <is>
          <t>Margherita Pizza</t>
        </is>
      </c>
      <c r="B8" s="4" t="n">
        <v>15.99</v>
      </c>
      <c r="C8" s="4" t="n">
        <v>2.49</v>
      </c>
      <c r="D8" s="4" t="n">
        <v>13.5</v>
      </c>
      <c r="E8" s="4" t="n">
        <v>84.43000000000001</v>
      </c>
    </row>
    <row r="9">
      <c r="A9" s="4" t="inlineStr">
        <is>
          <t>Buffalo Wings</t>
        </is>
      </c>
      <c r="B9" s="4" t="n">
        <v>12.99</v>
      </c>
      <c r="C9" s="4" t="n">
        <v>2.28</v>
      </c>
      <c r="D9" s="4" t="n">
        <v>10.71</v>
      </c>
      <c r="E9" s="4" t="n">
        <v>82.45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location_id</t>
        </is>
      </c>
      <c r="B1" s="3" t="inlineStr">
        <is>
          <t>month</t>
        </is>
      </c>
      <c r="C1" s="3" t="inlineStr">
        <is>
          <t>total_labor_cost</t>
        </is>
      </c>
      <c r="D1" s="3" t="inlineStr">
        <is>
          <t>total_revenue</t>
        </is>
      </c>
      <c r="E1" s="3" t="inlineStr">
        <is>
          <t>labor_pct_of_revenue</t>
        </is>
      </c>
    </row>
    <row r="2">
      <c r="A2" s="4" t="n">
        <v>1</v>
      </c>
      <c r="B2" s="4" t="inlineStr">
        <is>
          <t>2024-06</t>
        </is>
      </c>
      <c r="C2" s="4" t="n">
        <v>42093.525</v>
      </c>
      <c r="D2" s="4" t="n">
        <v>24078.18</v>
      </c>
      <c r="E2" s="4" t="n">
        <v>174.82</v>
      </c>
    </row>
    <row r="3">
      <c r="A3" s="4" t="n">
        <v>1</v>
      </c>
      <c r="B3" s="4" t="inlineStr">
        <is>
          <t>2024-07</t>
        </is>
      </c>
      <c r="C3" s="4" t="n">
        <v>38973.458</v>
      </c>
      <c r="D3" s="4" t="n">
        <v>28814.22</v>
      </c>
      <c r="E3" s="4" t="n">
        <v>135.26</v>
      </c>
    </row>
    <row r="4">
      <c r="A4" s="4" t="n">
        <v>1</v>
      </c>
      <c r="B4" s="4" t="inlineStr">
        <is>
          <t>2024-08</t>
        </is>
      </c>
      <c r="C4" s="4" t="n">
        <v>41185.519</v>
      </c>
      <c r="D4" s="4" t="n">
        <v>26216.54</v>
      </c>
      <c r="E4" s="4" t="n">
        <v>157.1</v>
      </c>
    </row>
    <row r="5">
      <c r="A5" s="4" t="n">
        <v>1</v>
      </c>
      <c r="B5" s="4" t="inlineStr">
        <is>
          <t>2024-09</t>
        </is>
      </c>
      <c r="C5" s="4" t="n">
        <v>40232.833</v>
      </c>
      <c r="D5" s="4" t="n">
        <v>23516.6</v>
      </c>
      <c r="E5" s="4" t="n">
        <v>171.08</v>
      </c>
    </row>
    <row r="6">
      <c r="A6" s="4" t="n">
        <v>1</v>
      </c>
      <c r="B6" s="4" t="inlineStr">
        <is>
          <t>2024-10</t>
        </is>
      </c>
      <c r="C6" s="4" t="n">
        <v>41870.517</v>
      </c>
      <c r="D6" s="4" t="n">
        <v>25407.05</v>
      </c>
      <c r="E6" s="4" t="n">
        <v>164.8</v>
      </c>
    </row>
    <row r="7">
      <c r="A7" s="4" t="n">
        <v>1</v>
      </c>
      <c r="B7" s="4" t="inlineStr">
        <is>
          <t>2024-11</t>
        </is>
      </c>
      <c r="C7" s="4" t="n">
        <v>40394.067</v>
      </c>
      <c r="D7" s="4" t="n">
        <v>29475.84</v>
      </c>
      <c r="E7" s="4" t="n">
        <v>137.04</v>
      </c>
    </row>
    <row r="8">
      <c r="A8" s="4" t="n">
        <v>1</v>
      </c>
      <c r="B8" s="4" t="inlineStr">
        <is>
          <t>2024-12</t>
        </is>
      </c>
      <c r="C8" s="4" t="n">
        <v>41648.249</v>
      </c>
      <c r="D8" s="4" t="n">
        <v>30772.03</v>
      </c>
      <c r="E8" s="4" t="n">
        <v>135.34</v>
      </c>
    </row>
    <row r="9">
      <c r="A9" s="4" t="n">
        <v>1</v>
      </c>
      <c r="B9" s="4" t="inlineStr">
        <is>
          <t>2025-01</t>
        </is>
      </c>
      <c r="C9" s="4" t="n">
        <v>43410.553</v>
      </c>
      <c r="D9" s="4" t="n">
        <v>28161.83</v>
      </c>
      <c r="E9" s="4" t="n">
        <v>154.15</v>
      </c>
    </row>
    <row r="10">
      <c r="A10" s="4" t="n">
        <v>1</v>
      </c>
      <c r="B10" s="4" t="inlineStr">
        <is>
          <t>2025-02</t>
        </is>
      </c>
      <c r="C10" s="4" t="n">
        <v>37813.139</v>
      </c>
      <c r="D10" s="4" t="n">
        <v>26182.62</v>
      </c>
      <c r="E10" s="4" t="n">
        <v>144.42</v>
      </c>
    </row>
    <row r="11">
      <c r="A11" s="4" t="n">
        <v>1</v>
      </c>
      <c r="B11" s="4" t="inlineStr">
        <is>
          <t>2025-03</t>
        </is>
      </c>
      <c r="C11" s="4" t="n">
        <v>40665.49</v>
      </c>
      <c r="D11" s="4" t="n">
        <v>26542.89</v>
      </c>
      <c r="E11" s="4" t="n">
        <v>153.21</v>
      </c>
    </row>
    <row r="12">
      <c r="A12" s="4" t="n">
        <v>1</v>
      </c>
      <c r="B12" s="4" t="inlineStr">
        <is>
          <t>2025-04</t>
        </is>
      </c>
      <c r="C12" s="4" t="n">
        <v>40087.011</v>
      </c>
      <c r="D12" s="4" t="n">
        <v>25918.73</v>
      </c>
      <c r="E12" s="4" t="n">
        <v>154.66</v>
      </c>
    </row>
    <row r="13">
      <c r="A13" s="4" t="n">
        <v>1</v>
      </c>
      <c r="B13" s="4" t="inlineStr">
        <is>
          <t>2025-05</t>
        </is>
      </c>
      <c r="C13" s="4" t="n">
        <v>40403.068</v>
      </c>
      <c r="D13" s="4" t="n">
        <v>28342.83</v>
      </c>
      <c r="E13" s="4" t="n">
        <v>142.55</v>
      </c>
    </row>
    <row r="14">
      <c r="A14" s="4" t="n">
        <v>1</v>
      </c>
      <c r="B14" s="4" t="inlineStr">
        <is>
          <t>2025-06</t>
        </is>
      </c>
      <c r="C14" s="4" t="n">
        <v>37655.372</v>
      </c>
      <c r="D14" s="4" t="n">
        <v>27590.35</v>
      </c>
      <c r="E14" s="4" t="n">
        <v>136.48</v>
      </c>
    </row>
    <row r="15">
      <c r="A15" s="4" t="n">
        <v>1</v>
      </c>
      <c r="B15" s="4" t="inlineStr">
        <is>
          <t>2025-07</t>
        </is>
      </c>
      <c r="C15" s="4" t="n">
        <v>42754.682</v>
      </c>
      <c r="D15" s="4" t="n">
        <v>32059.84</v>
      </c>
      <c r="E15" s="4" t="n">
        <v>133.36</v>
      </c>
    </row>
    <row r="16">
      <c r="A16" s="4" t="n">
        <v>1</v>
      </c>
      <c r="B16" s="4" t="inlineStr">
        <is>
          <t>2025-08</t>
        </is>
      </c>
      <c r="C16" s="4" t="n">
        <v>40062.824</v>
      </c>
      <c r="D16" s="4" t="n">
        <v>30255.52</v>
      </c>
      <c r="E16" s="4" t="n">
        <v>132.41</v>
      </c>
    </row>
    <row r="17">
      <c r="A17" s="4" t="n">
        <v>1</v>
      </c>
      <c r="B17" s="4" t="inlineStr">
        <is>
          <t>2025-09</t>
        </is>
      </c>
      <c r="C17" s="4" t="n">
        <v>41972.321</v>
      </c>
      <c r="D17" s="4" t="n">
        <v>26220.38</v>
      </c>
      <c r="E17" s="4" t="n">
        <v>160.08</v>
      </c>
    </row>
    <row r="18">
      <c r="A18" s="4" t="n">
        <v>1</v>
      </c>
      <c r="B18" s="4" t="inlineStr">
        <is>
          <t>2025-10</t>
        </is>
      </c>
      <c r="C18" s="4" t="n">
        <v>41011.505</v>
      </c>
      <c r="D18" s="4" t="n">
        <v>29459.11</v>
      </c>
      <c r="E18" s="4" t="n">
        <v>139.22</v>
      </c>
    </row>
    <row r="19">
      <c r="A19" s="4" t="n">
        <v>1</v>
      </c>
      <c r="B19" s="4" t="inlineStr">
        <is>
          <t>2025-11</t>
        </is>
      </c>
      <c r="C19" s="4" t="n">
        <v>42079.678</v>
      </c>
      <c r="D19" s="4" t="n">
        <v>30216.24</v>
      </c>
      <c r="E19" s="4" t="n">
        <v>139.26</v>
      </c>
    </row>
    <row r="20">
      <c r="A20" s="4" t="n">
        <v>2</v>
      </c>
      <c r="B20" s="4" t="inlineStr">
        <is>
          <t>2024-06</t>
        </is>
      </c>
      <c r="C20" s="4" t="n">
        <v>41509.609</v>
      </c>
      <c r="D20" s="4" t="n">
        <v>24917.59</v>
      </c>
      <c r="E20" s="4" t="n">
        <v>166.59</v>
      </c>
    </row>
    <row r="21">
      <c r="A21" s="4" t="n">
        <v>2</v>
      </c>
      <c r="B21" s="4" t="inlineStr">
        <is>
          <t>2024-07</t>
        </is>
      </c>
      <c r="C21" s="4" t="n">
        <v>40775.801</v>
      </c>
      <c r="D21" s="4" t="n">
        <v>29326.28</v>
      </c>
      <c r="E21" s="4" t="n">
        <v>139.04</v>
      </c>
    </row>
    <row r="22">
      <c r="A22" s="4" t="n">
        <v>2</v>
      </c>
      <c r="B22" s="4" t="inlineStr">
        <is>
          <t>2024-08</t>
        </is>
      </c>
      <c r="C22" s="4" t="n">
        <v>43896.798</v>
      </c>
      <c r="D22" s="4" t="n">
        <v>26017.75</v>
      </c>
      <c r="E22" s="4" t="n">
        <v>168.72</v>
      </c>
    </row>
    <row r="23">
      <c r="A23" s="4" t="n">
        <v>2</v>
      </c>
      <c r="B23" s="4" t="inlineStr">
        <is>
          <t>2024-09</t>
        </is>
      </c>
      <c r="C23" s="4" t="n">
        <v>41302.443</v>
      </c>
      <c r="D23" s="4" t="n">
        <v>25232.23</v>
      </c>
      <c r="E23" s="4" t="n">
        <v>163.69</v>
      </c>
    </row>
    <row r="24">
      <c r="A24" s="4" t="n">
        <v>2</v>
      </c>
      <c r="B24" s="4" t="inlineStr">
        <is>
          <t>2024-10</t>
        </is>
      </c>
      <c r="C24" s="4" t="n">
        <v>41111.441</v>
      </c>
      <c r="D24" s="4" t="n">
        <v>24866.45</v>
      </c>
      <c r="E24" s="4" t="n">
        <v>165.33</v>
      </c>
    </row>
    <row r="25">
      <c r="A25" s="4" t="n">
        <v>2</v>
      </c>
      <c r="B25" s="4" t="inlineStr">
        <is>
          <t>2024-11</t>
        </is>
      </c>
      <c r="C25" s="4" t="n">
        <v>38306.166</v>
      </c>
      <c r="D25" s="4" t="n">
        <v>28919.51</v>
      </c>
      <c r="E25" s="4" t="n">
        <v>132.46</v>
      </c>
    </row>
    <row r="26">
      <c r="A26" s="4" t="n">
        <v>2</v>
      </c>
      <c r="B26" s="4" t="inlineStr">
        <is>
          <t>2024-12</t>
        </is>
      </c>
      <c r="C26" s="4" t="n">
        <v>41845.726</v>
      </c>
      <c r="D26" s="4" t="n">
        <v>29095.1</v>
      </c>
      <c r="E26" s="4" t="n">
        <v>143.82</v>
      </c>
    </row>
    <row r="27">
      <c r="A27" s="4" t="n">
        <v>2</v>
      </c>
      <c r="B27" s="4" t="inlineStr">
        <is>
          <t>2025-01</t>
        </is>
      </c>
      <c r="C27" s="4" t="n">
        <v>42848.712</v>
      </c>
      <c r="D27" s="4" t="n">
        <v>27401.6</v>
      </c>
      <c r="E27" s="4" t="n">
        <v>156.37</v>
      </c>
    </row>
    <row r="28">
      <c r="A28" s="4" t="n">
        <v>2</v>
      </c>
      <c r="B28" s="4" t="inlineStr">
        <is>
          <t>2025-02</t>
        </is>
      </c>
      <c r="C28" s="4" t="n">
        <v>37209.959</v>
      </c>
      <c r="D28" s="4" t="n">
        <v>23170.72</v>
      </c>
      <c r="E28" s="4" t="n">
        <v>160.59</v>
      </c>
    </row>
    <row r="29">
      <c r="A29" s="4" t="n">
        <v>2</v>
      </c>
      <c r="B29" s="4" t="inlineStr">
        <is>
          <t>2025-03</t>
        </is>
      </c>
      <c r="C29" s="4" t="n">
        <v>39820.325</v>
      </c>
      <c r="D29" s="4" t="n">
        <v>26231.39</v>
      </c>
      <c r="E29" s="4" t="n">
        <v>151.8</v>
      </c>
    </row>
    <row r="30">
      <c r="A30" s="4" t="n">
        <v>2</v>
      </c>
      <c r="B30" s="4" t="inlineStr">
        <is>
          <t>2025-04</t>
        </is>
      </c>
      <c r="C30" s="4" t="n">
        <v>40353.177</v>
      </c>
      <c r="D30" s="4" t="n">
        <v>26597.27</v>
      </c>
      <c r="E30" s="4" t="n">
        <v>151.72</v>
      </c>
    </row>
    <row r="31">
      <c r="A31" s="4" t="n">
        <v>2</v>
      </c>
      <c r="B31" s="4" t="inlineStr">
        <is>
          <t>2025-05</t>
        </is>
      </c>
      <c r="C31" s="4" t="n">
        <v>42778.462</v>
      </c>
      <c r="D31" s="4" t="n">
        <v>27456.47</v>
      </c>
      <c r="E31" s="4" t="n">
        <v>155.8</v>
      </c>
    </row>
    <row r="32">
      <c r="A32" s="4" t="n">
        <v>2</v>
      </c>
      <c r="B32" s="4" t="inlineStr">
        <is>
          <t>2025-06</t>
        </is>
      </c>
      <c r="C32" s="4" t="n">
        <v>40861.651</v>
      </c>
      <c r="D32" s="4" t="n">
        <v>26135.41</v>
      </c>
      <c r="E32" s="4" t="n">
        <v>156.35</v>
      </c>
    </row>
    <row r="33">
      <c r="A33" s="4" t="n">
        <v>2</v>
      </c>
      <c r="B33" s="4" t="inlineStr">
        <is>
          <t>2025-07</t>
        </is>
      </c>
      <c r="C33" s="4" t="n">
        <v>37718.472</v>
      </c>
      <c r="D33" s="4" t="n">
        <v>31551.07</v>
      </c>
      <c r="E33" s="4" t="n">
        <v>119.55</v>
      </c>
    </row>
    <row r="34">
      <c r="A34" s="4" t="n">
        <v>2</v>
      </c>
      <c r="B34" s="4" t="inlineStr">
        <is>
          <t>2025-08</t>
        </is>
      </c>
      <c r="C34" s="4" t="n">
        <v>41164.092</v>
      </c>
      <c r="D34" s="4" t="n">
        <v>29712.88</v>
      </c>
      <c r="E34" s="4" t="n">
        <v>138.54</v>
      </c>
    </row>
    <row r="35">
      <c r="A35" s="4" t="n">
        <v>2</v>
      </c>
      <c r="B35" s="4" t="inlineStr">
        <is>
          <t>2025-09</t>
        </is>
      </c>
      <c r="C35" s="4" t="n">
        <v>39942.746</v>
      </c>
      <c r="D35" s="4" t="n">
        <v>29102.26</v>
      </c>
      <c r="E35" s="4" t="n">
        <v>137.25</v>
      </c>
    </row>
    <row r="36">
      <c r="A36" s="4" t="n">
        <v>2</v>
      </c>
      <c r="B36" s="4" t="inlineStr">
        <is>
          <t>2025-10</t>
        </is>
      </c>
      <c r="C36" s="4" t="n">
        <v>43978.024</v>
      </c>
      <c r="D36" s="4" t="n">
        <v>29481.98</v>
      </c>
      <c r="E36" s="4" t="n">
        <v>149.17</v>
      </c>
    </row>
    <row r="37">
      <c r="A37" s="4" t="n">
        <v>2</v>
      </c>
      <c r="B37" s="4" t="inlineStr">
        <is>
          <t>2025-11</t>
        </is>
      </c>
      <c r="C37" s="4" t="n">
        <v>40893.319</v>
      </c>
      <c r="D37" s="4" t="n">
        <v>32170.89</v>
      </c>
      <c r="E37" s="4" t="n">
        <v>127.11</v>
      </c>
    </row>
    <row r="38">
      <c r="A38" s="4" t="n">
        <v>3</v>
      </c>
      <c r="B38" s="4" t="inlineStr">
        <is>
          <t>2024-06</t>
        </is>
      </c>
      <c r="C38" s="4" t="n">
        <v>39493.439</v>
      </c>
      <c r="D38" s="4" t="n">
        <v>24960.29</v>
      </c>
      <c r="E38" s="4" t="n">
        <v>158.23</v>
      </c>
    </row>
    <row r="39">
      <c r="A39" s="4" t="n">
        <v>3</v>
      </c>
      <c r="B39" s="4" t="inlineStr">
        <is>
          <t>2024-07</t>
        </is>
      </c>
      <c r="C39" s="4" t="n">
        <v>41430.615</v>
      </c>
      <c r="D39" s="4" t="n">
        <v>25956.63</v>
      </c>
      <c r="E39" s="4" t="n">
        <v>159.61</v>
      </c>
    </row>
    <row r="40">
      <c r="A40" s="4" t="n">
        <v>3</v>
      </c>
      <c r="B40" s="4" t="inlineStr">
        <is>
          <t>2024-08</t>
        </is>
      </c>
      <c r="C40" s="4" t="n">
        <v>41369.082</v>
      </c>
      <c r="D40" s="4" t="n">
        <v>25967.69</v>
      </c>
      <c r="E40" s="4" t="n">
        <v>159.31</v>
      </c>
    </row>
    <row r="41">
      <c r="A41" s="4" t="n">
        <v>3</v>
      </c>
      <c r="B41" s="4" t="inlineStr">
        <is>
          <t>2024-09</t>
        </is>
      </c>
      <c r="C41" s="4" t="n">
        <v>38862.783</v>
      </c>
      <c r="D41" s="4" t="n">
        <v>24609.68</v>
      </c>
      <c r="E41" s="4" t="n">
        <v>157.92</v>
      </c>
    </row>
    <row r="42">
      <c r="A42" s="4" t="n">
        <v>3</v>
      </c>
      <c r="B42" s="4" t="inlineStr">
        <is>
          <t>2024-10</t>
        </is>
      </c>
      <c r="C42" s="4" t="n">
        <v>41237.194</v>
      </c>
      <c r="D42" s="4" t="n">
        <v>25048.42</v>
      </c>
      <c r="E42" s="4" t="n">
        <v>164.63</v>
      </c>
    </row>
    <row r="43">
      <c r="A43" s="4" t="n">
        <v>3</v>
      </c>
      <c r="B43" s="4" t="inlineStr">
        <is>
          <t>2024-11</t>
        </is>
      </c>
      <c r="C43" s="4" t="n">
        <v>38126.011</v>
      </c>
      <c r="D43" s="4" t="n">
        <v>27781.25</v>
      </c>
      <c r="E43" s="4" t="n">
        <v>137.24</v>
      </c>
    </row>
    <row r="44">
      <c r="A44" s="4" t="n">
        <v>3</v>
      </c>
      <c r="B44" s="4" t="inlineStr">
        <is>
          <t>2024-12</t>
        </is>
      </c>
      <c r="C44" s="4" t="n">
        <v>43062.278</v>
      </c>
      <c r="D44" s="4" t="n">
        <v>31307.57</v>
      </c>
      <c r="E44" s="4" t="n">
        <v>137.55</v>
      </c>
    </row>
    <row r="45">
      <c r="A45" s="4" t="n">
        <v>3</v>
      </c>
      <c r="B45" s="4" t="inlineStr">
        <is>
          <t>2025-01</t>
        </is>
      </c>
      <c r="C45" s="4" t="n">
        <v>43557.699</v>
      </c>
      <c r="D45" s="4" t="n">
        <v>26685.17</v>
      </c>
      <c r="E45" s="4" t="n">
        <v>163.23</v>
      </c>
    </row>
    <row r="46">
      <c r="A46" s="4" t="n">
        <v>3</v>
      </c>
      <c r="B46" s="4" t="inlineStr">
        <is>
          <t>2025-02</t>
        </is>
      </c>
      <c r="C46" s="4" t="n">
        <v>39792.051</v>
      </c>
      <c r="D46" s="4" t="n">
        <v>22668.28</v>
      </c>
      <c r="E46" s="4" t="n">
        <v>175.54</v>
      </c>
    </row>
    <row r="47">
      <c r="A47" s="4" t="n">
        <v>3</v>
      </c>
      <c r="B47" s="4" t="inlineStr">
        <is>
          <t>2025-03</t>
        </is>
      </c>
      <c r="C47" s="4" t="n">
        <v>41644.293</v>
      </c>
      <c r="D47" s="4" t="n">
        <v>28273.91</v>
      </c>
      <c r="E47" s="4" t="n">
        <v>147.29</v>
      </c>
    </row>
    <row r="48">
      <c r="A48" s="4" t="n">
        <v>3</v>
      </c>
      <c r="B48" s="4" t="inlineStr">
        <is>
          <t>2025-04</t>
        </is>
      </c>
      <c r="C48" s="4" t="n">
        <v>40245.435</v>
      </c>
      <c r="D48" s="4" t="n">
        <v>28474.65</v>
      </c>
      <c r="E48" s="4" t="n">
        <v>141.34</v>
      </c>
    </row>
    <row r="49">
      <c r="A49" s="4" t="n">
        <v>3</v>
      </c>
      <c r="B49" s="4" t="inlineStr">
        <is>
          <t>2025-05</t>
        </is>
      </c>
      <c r="C49" s="4" t="n">
        <v>39902.882</v>
      </c>
      <c r="D49" s="4" t="n">
        <v>29305.18</v>
      </c>
      <c r="E49" s="4" t="n">
        <v>136.16</v>
      </c>
    </row>
    <row r="50">
      <c r="A50" s="4" t="n">
        <v>3</v>
      </c>
      <c r="B50" s="4" t="inlineStr">
        <is>
          <t>2025-06</t>
        </is>
      </c>
      <c r="C50" s="4" t="n">
        <v>40476.389</v>
      </c>
      <c r="D50" s="4" t="n">
        <v>25544.91</v>
      </c>
      <c r="E50" s="4" t="n">
        <v>158.45</v>
      </c>
    </row>
    <row r="51">
      <c r="A51" s="4" t="n">
        <v>3</v>
      </c>
      <c r="B51" s="4" t="inlineStr">
        <is>
          <t>2025-07</t>
        </is>
      </c>
      <c r="C51" s="4" t="n">
        <v>43015.693</v>
      </c>
      <c r="D51" s="4" t="n">
        <v>32857.48</v>
      </c>
      <c r="E51" s="4" t="n">
        <v>130.92</v>
      </c>
    </row>
    <row r="52">
      <c r="A52" s="4" t="n">
        <v>3</v>
      </c>
      <c r="B52" s="4" t="inlineStr">
        <is>
          <t>2025-08</t>
        </is>
      </c>
      <c r="C52" s="4" t="n">
        <v>40946.652</v>
      </c>
      <c r="D52" s="4" t="n">
        <v>28048.29</v>
      </c>
      <c r="E52" s="4" t="n">
        <v>145.99</v>
      </c>
    </row>
    <row r="53">
      <c r="A53" s="4" t="n">
        <v>3</v>
      </c>
      <c r="B53" s="4" t="inlineStr">
        <is>
          <t>2025-09</t>
        </is>
      </c>
      <c r="C53" s="4" t="n">
        <v>42793.172</v>
      </c>
      <c r="D53" s="4" t="n">
        <v>27939.05</v>
      </c>
      <c r="E53" s="4" t="n">
        <v>153.17</v>
      </c>
    </row>
    <row r="54">
      <c r="A54" s="4" t="n">
        <v>3</v>
      </c>
      <c r="B54" s="4" t="inlineStr">
        <is>
          <t>2025-10</t>
        </is>
      </c>
      <c r="C54" s="4" t="n">
        <v>41905.474</v>
      </c>
      <c r="D54" s="4" t="n">
        <v>27863.22</v>
      </c>
      <c r="E54" s="4" t="n">
        <v>150.4</v>
      </c>
    </row>
    <row r="55">
      <c r="A55" s="4" t="n">
        <v>3</v>
      </c>
      <c r="B55" s="4" t="inlineStr">
        <is>
          <t>2025-11</t>
        </is>
      </c>
      <c r="C55" s="4" t="n">
        <v>39224.067</v>
      </c>
      <c r="D55" s="4" t="n">
        <v>34582.94</v>
      </c>
      <c r="E55" s="4" t="n">
        <v>113.42</v>
      </c>
    </row>
    <row r="56">
      <c r="A56" s="4" t="n">
        <v>4</v>
      </c>
      <c r="B56" s="4" t="inlineStr">
        <is>
          <t>2024-06</t>
        </is>
      </c>
      <c r="C56" s="4" t="n">
        <v>37350.363</v>
      </c>
      <c r="D56" s="4" t="n">
        <v>25239.23</v>
      </c>
      <c r="E56" s="4" t="n">
        <v>147.99</v>
      </c>
    </row>
    <row r="57">
      <c r="A57" s="4" t="n">
        <v>4</v>
      </c>
      <c r="B57" s="4" t="inlineStr">
        <is>
          <t>2024-07</t>
        </is>
      </c>
      <c r="C57" s="4" t="n">
        <v>40979.441</v>
      </c>
      <c r="D57" s="4" t="n">
        <v>28992.35</v>
      </c>
      <c r="E57" s="4" t="n">
        <v>141.35</v>
      </c>
    </row>
    <row r="58">
      <c r="A58" s="4" t="n">
        <v>4</v>
      </c>
      <c r="B58" s="4" t="inlineStr">
        <is>
          <t>2024-08</t>
        </is>
      </c>
      <c r="C58" s="4" t="n">
        <v>41639.656</v>
      </c>
      <c r="D58" s="4" t="n">
        <v>27304.54</v>
      </c>
      <c r="E58" s="4" t="n">
        <v>152.5</v>
      </c>
    </row>
    <row r="59">
      <c r="A59" s="4" t="n">
        <v>4</v>
      </c>
      <c r="B59" s="4" t="inlineStr">
        <is>
          <t>2024-09</t>
        </is>
      </c>
      <c r="C59" s="4" t="n">
        <v>38848.009</v>
      </c>
      <c r="D59" s="4" t="n">
        <v>26924.98</v>
      </c>
      <c r="E59" s="4" t="n">
        <v>144.28</v>
      </c>
    </row>
    <row r="60">
      <c r="A60" s="4" t="n">
        <v>4</v>
      </c>
      <c r="B60" s="4" t="inlineStr">
        <is>
          <t>2024-10</t>
        </is>
      </c>
      <c r="C60" s="4" t="n">
        <v>40933.334</v>
      </c>
      <c r="D60" s="4" t="n">
        <v>27417.54</v>
      </c>
      <c r="E60" s="4" t="n">
        <v>149.3</v>
      </c>
    </row>
    <row r="61">
      <c r="A61" s="4" t="n">
        <v>4</v>
      </c>
      <c r="B61" s="4" t="inlineStr">
        <is>
          <t>2024-11</t>
        </is>
      </c>
      <c r="C61" s="4" t="n">
        <v>38546.908</v>
      </c>
      <c r="D61" s="4" t="n">
        <v>31876.09</v>
      </c>
      <c r="E61" s="4" t="n">
        <v>120.93</v>
      </c>
    </row>
    <row r="62">
      <c r="A62" s="4" t="n">
        <v>4</v>
      </c>
      <c r="B62" s="4" t="inlineStr">
        <is>
          <t>2024-12</t>
        </is>
      </c>
      <c r="C62" s="4" t="n">
        <v>43367.081</v>
      </c>
      <c r="D62" s="4" t="n">
        <v>31266.45</v>
      </c>
      <c r="E62" s="4" t="n">
        <v>138.7</v>
      </c>
    </row>
    <row r="63">
      <c r="A63" s="4" t="n">
        <v>4</v>
      </c>
      <c r="B63" s="4" t="inlineStr">
        <is>
          <t>2025-01</t>
        </is>
      </c>
      <c r="C63" s="4" t="n">
        <v>42941.888</v>
      </c>
      <c r="D63" s="4" t="n">
        <v>26537.35</v>
      </c>
      <c r="E63" s="4" t="n">
        <v>161.82</v>
      </c>
    </row>
    <row r="64">
      <c r="A64" s="4" t="n">
        <v>4</v>
      </c>
      <c r="B64" s="4" t="inlineStr">
        <is>
          <t>2025-02</t>
        </is>
      </c>
      <c r="C64" s="4" t="n">
        <v>35857.708</v>
      </c>
      <c r="D64" s="4" t="n">
        <v>25535.8</v>
      </c>
      <c r="E64" s="4" t="n">
        <v>140.42</v>
      </c>
    </row>
    <row r="65">
      <c r="A65" s="4" t="n">
        <v>4</v>
      </c>
      <c r="B65" s="4" t="inlineStr">
        <is>
          <t>2025-03</t>
        </is>
      </c>
      <c r="C65" s="4" t="n">
        <v>41687.529</v>
      </c>
      <c r="D65" s="4" t="n">
        <v>27250.63</v>
      </c>
      <c r="E65" s="4" t="n">
        <v>152.98</v>
      </c>
    </row>
    <row r="66">
      <c r="A66" s="4" t="n">
        <v>4</v>
      </c>
      <c r="B66" s="4" t="inlineStr">
        <is>
          <t>2025-04</t>
        </is>
      </c>
      <c r="C66" s="4" t="n">
        <v>41969.075</v>
      </c>
      <c r="D66" s="4" t="n">
        <v>25632.06</v>
      </c>
      <c r="E66" s="4" t="n">
        <v>163.74</v>
      </c>
    </row>
    <row r="67">
      <c r="A67" s="4" t="n">
        <v>4</v>
      </c>
      <c r="B67" s="4" t="inlineStr">
        <is>
          <t>2025-05</t>
        </is>
      </c>
      <c r="C67" s="4" t="n">
        <v>40537.614</v>
      </c>
      <c r="D67" s="4" t="n">
        <v>26412.33</v>
      </c>
      <c r="E67" s="4" t="n">
        <v>153.48</v>
      </c>
    </row>
    <row r="68">
      <c r="A68" s="4" t="n">
        <v>4</v>
      </c>
      <c r="B68" s="4" t="inlineStr">
        <is>
          <t>2025-06</t>
        </is>
      </c>
      <c r="C68" s="4" t="n">
        <v>38091.709</v>
      </c>
      <c r="D68" s="4" t="n">
        <v>26843.17</v>
      </c>
      <c r="E68" s="4" t="n">
        <v>141.9</v>
      </c>
    </row>
    <row r="69">
      <c r="A69" s="4" t="n">
        <v>4</v>
      </c>
      <c r="B69" s="4" t="inlineStr">
        <is>
          <t>2025-07</t>
        </is>
      </c>
      <c r="C69" s="4" t="n">
        <v>41529.358</v>
      </c>
      <c r="D69" s="4" t="n">
        <v>32711.04</v>
      </c>
      <c r="E69" s="4" t="n">
        <v>126.96</v>
      </c>
    </row>
    <row r="70">
      <c r="A70" s="4" t="n">
        <v>4</v>
      </c>
      <c r="B70" s="4" t="inlineStr">
        <is>
          <t>2025-08</t>
        </is>
      </c>
      <c r="C70" s="4" t="n">
        <v>40949.1</v>
      </c>
      <c r="D70" s="4" t="n">
        <v>29732.01</v>
      </c>
      <c r="E70" s="4" t="n">
        <v>137.73</v>
      </c>
    </row>
    <row r="71">
      <c r="A71" s="4" t="n">
        <v>4</v>
      </c>
      <c r="B71" s="4" t="inlineStr">
        <is>
          <t>2025-09</t>
        </is>
      </c>
      <c r="C71" s="4" t="n">
        <v>40244.994</v>
      </c>
      <c r="D71" s="4" t="n">
        <v>27994.86</v>
      </c>
      <c r="E71" s="4" t="n">
        <v>143.76</v>
      </c>
    </row>
    <row r="72">
      <c r="A72" s="4" t="n">
        <v>4</v>
      </c>
      <c r="B72" s="4" t="inlineStr">
        <is>
          <t>2025-10</t>
        </is>
      </c>
      <c r="C72" s="4" t="n">
        <v>43920.575</v>
      </c>
      <c r="D72" s="4" t="n">
        <v>27584.21</v>
      </c>
      <c r="E72" s="4" t="n">
        <v>159.22</v>
      </c>
    </row>
    <row r="73">
      <c r="A73" s="4" t="n">
        <v>4</v>
      </c>
      <c r="B73" s="4" t="inlineStr">
        <is>
          <t>2025-11</t>
        </is>
      </c>
      <c r="C73" s="4" t="n">
        <v>41922.788</v>
      </c>
      <c r="D73" s="4" t="n">
        <v>33676.68</v>
      </c>
      <c r="E73" s="4" t="n">
        <v>124.49</v>
      </c>
    </row>
    <row r="74">
      <c r="A74" s="4" t="n">
        <v>5</v>
      </c>
      <c r="B74" s="4" t="inlineStr">
        <is>
          <t>2024-06</t>
        </is>
      </c>
      <c r="C74" s="4" t="n">
        <v>41393.663</v>
      </c>
      <c r="D74" s="4" t="n">
        <v>23201.62</v>
      </c>
      <c r="E74" s="4" t="n">
        <v>178.41</v>
      </c>
    </row>
    <row r="75">
      <c r="A75" s="4" t="n">
        <v>5</v>
      </c>
      <c r="B75" s="4" t="inlineStr">
        <is>
          <t>2024-07</t>
        </is>
      </c>
      <c r="C75" s="4" t="n">
        <v>43018.519</v>
      </c>
      <c r="D75" s="4" t="n">
        <v>28306.91</v>
      </c>
      <c r="E75" s="4" t="n">
        <v>151.97</v>
      </c>
    </row>
    <row r="76">
      <c r="A76" s="4" t="n">
        <v>5</v>
      </c>
      <c r="B76" s="4" t="inlineStr">
        <is>
          <t>2024-08</t>
        </is>
      </c>
      <c r="C76" s="4" t="n">
        <v>41569.911</v>
      </c>
      <c r="D76" s="4" t="n">
        <v>25627.89</v>
      </c>
      <c r="E76" s="4" t="n">
        <v>162.21</v>
      </c>
    </row>
    <row r="77">
      <c r="A77" s="4" t="n">
        <v>5</v>
      </c>
      <c r="B77" s="4" t="inlineStr">
        <is>
          <t>2024-09</t>
        </is>
      </c>
      <c r="C77" s="4" t="n">
        <v>40022.795</v>
      </c>
      <c r="D77" s="4" t="n">
        <v>26314.18</v>
      </c>
      <c r="E77" s="4" t="n">
        <v>152.1</v>
      </c>
    </row>
    <row r="78">
      <c r="A78" s="4" t="n">
        <v>5</v>
      </c>
      <c r="B78" s="4" t="inlineStr">
        <is>
          <t>2024-10</t>
        </is>
      </c>
      <c r="C78" s="4" t="n">
        <v>41052.796</v>
      </c>
      <c r="D78" s="4" t="n">
        <v>27156.1</v>
      </c>
      <c r="E78" s="4" t="n">
        <v>151.17</v>
      </c>
    </row>
    <row r="79">
      <c r="A79" s="4" t="n">
        <v>5</v>
      </c>
      <c r="B79" s="4" t="inlineStr">
        <is>
          <t>2024-11</t>
        </is>
      </c>
      <c r="C79" s="4" t="n">
        <v>42125.776</v>
      </c>
      <c r="D79" s="4" t="n">
        <v>31209.84</v>
      </c>
      <c r="E79" s="4" t="n">
        <v>134.98</v>
      </c>
    </row>
    <row r="80">
      <c r="A80" s="4" t="n">
        <v>5</v>
      </c>
      <c r="B80" s="4" t="inlineStr">
        <is>
          <t>2024-12</t>
        </is>
      </c>
      <c r="C80" s="4" t="n">
        <v>40233.144</v>
      </c>
      <c r="D80" s="4" t="n">
        <v>30004.46</v>
      </c>
      <c r="E80" s="4" t="n">
        <v>134.09</v>
      </c>
    </row>
    <row r="81">
      <c r="A81" s="4" t="n">
        <v>5</v>
      </c>
      <c r="B81" s="4" t="inlineStr">
        <is>
          <t>2025-01</t>
        </is>
      </c>
      <c r="C81" s="4" t="n">
        <v>42057.694</v>
      </c>
      <c r="D81" s="4" t="n">
        <v>26389.24</v>
      </c>
      <c r="E81" s="4" t="n">
        <v>159.37</v>
      </c>
    </row>
    <row r="82">
      <c r="A82" s="4" t="n">
        <v>5</v>
      </c>
      <c r="B82" s="4" t="inlineStr">
        <is>
          <t>2025-02</t>
        </is>
      </c>
      <c r="C82" s="4" t="n">
        <v>36544.244</v>
      </c>
      <c r="D82" s="4" t="n">
        <v>22164.56</v>
      </c>
      <c r="E82" s="4" t="n">
        <v>164.88</v>
      </c>
    </row>
    <row r="83">
      <c r="A83" s="4" t="n">
        <v>5</v>
      </c>
      <c r="B83" s="4" t="inlineStr">
        <is>
          <t>2025-03</t>
        </is>
      </c>
      <c r="C83" s="4" t="n">
        <v>41581.351</v>
      </c>
      <c r="D83" s="4" t="n">
        <v>28044.11</v>
      </c>
      <c r="E83" s="4" t="n">
        <v>148.27</v>
      </c>
    </row>
    <row r="84">
      <c r="A84" s="4" t="n">
        <v>5</v>
      </c>
      <c r="B84" s="4" t="inlineStr">
        <is>
          <t>2025-04</t>
        </is>
      </c>
      <c r="C84" s="4" t="n">
        <v>39390.128</v>
      </c>
      <c r="D84" s="4" t="n">
        <v>26133.29</v>
      </c>
      <c r="E84" s="4" t="n">
        <v>150.73</v>
      </c>
    </row>
    <row r="85">
      <c r="A85" s="4" t="n">
        <v>5</v>
      </c>
      <c r="B85" s="4" t="inlineStr">
        <is>
          <t>2025-05</t>
        </is>
      </c>
      <c r="C85" s="4" t="n">
        <v>41587.1</v>
      </c>
      <c r="D85" s="4" t="n">
        <v>27414.63</v>
      </c>
      <c r="E85" s="4" t="n">
        <v>151.7</v>
      </c>
    </row>
    <row r="86">
      <c r="A86" s="4" t="n">
        <v>5</v>
      </c>
      <c r="B86" s="4" t="inlineStr">
        <is>
          <t>2025-06</t>
        </is>
      </c>
      <c r="C86" s="4" t="n">
        <v>44753.208</v>
      </c>
      <c r="D86" s="4" t="n">
        <v>29726.5</v>
      </c>
      <c r="E86" s="4" t="n">
        <v>150.55</v>
      </c>
    </row>
    <row r="87">
      <c r="A87" s="4" t="n">
        <v>5</v>
      </c>
      <c r="B87" s="4" t="inlineStr">
        <is>
          <t>2025-07</t>
        </is>
      </c>
      <c r="C87" s="4" t="n">
        <v>39189.002</v>
      </c>
      <c r="D87" s="4" t="n">
        <v>32254.89</v>
      </c>
      <c r="E87" s="4" t="n">
        <v>121.5</v>
      </c>
    </row>
    <row r="88">
      <c r="A88" s="4" t="n">
        <v>5</v>
      </c>
      <c r="B88" s="4" t="inlineStr">
        <is>
          <t>2025-08</t>
        </is>
      </c>
      <c r="C88" s="4" t="n">
        <v>44262.281</v>
      </c>
      <c r="D88" s="4" t="n">
        <v>29599.88</v>
      </c>
      <c r="E88" s="4" t="n">
        <v>149.54</v>
      </c>
    </row>
    <row r="89">
      <c r="A89" s="4" t="n">
        <v>5</v>
      </c>
      <c r="B89" s="4" t="inlineStr">
        <is>
          <t>2025-09</t>
        </is>
      </c>
      <c r="C89" s="4" t="n">
        <v>39587.776</v>
      </c>
      <c r="D89" s="4" t="n">
        <v>28180.92</v>
      </c>
      <c r="E89" s="4" t="n">
        <v>140.48</v>
      </c>
    </row>
    <row r="90">
      <c r="A90" s="4" t="n">
        <v>5</v>
      </c>
      <c r="B90" s="4" t="inlineStr">
        <is>
          <t>2025-10</t>
        </is>
      </c>
      <c r="C90" s="4" t="n">
        <v>41405.514</v>
      </c>
      <c r="D90" s="4" t="n">
        <v>27100.78</v>
      </c>
      <c r="E90" s="4" t="n">
        <v>152.78</v>
      </c>
    </row>
    <row r="91">
      <c r="A91" s="4" t="n">
        <v>5</v>
      </c>
      <c r="B91" s="4" t="inlineStr">
        <is>
          <t>2025-11</t>
        </is>
      </c>
      <c r="C91" s="4" t="n">
        <v>41866.479</v>
      </c>
      <c r="D91" s="4" t="n">
        <v>30810.59</v>
      </c>
      <c r="E91" s="4" t="n">
        <v>135.88</v>
      </c>
    </row>
    <row r="92">
      <c r="A92" s="4" t="n">
        <v>6</v>
      </c>
      <c r="B92" s="4" t="inlineStr">
        <is>
          <t>2024-06</t>
        </is>
      </c>
      <c r="C92" s="4" t="n">
        <v>41400.458</v>
      </c>
      <c r="D92" s="4" t="n">
        <v>24289.69</v>
      </c>
      <c r="E92" s="4" t="n">
        <v>170.44</v>
      </c>
    </row>
    <row r="93">
      <c r="A93" s="4" t="n">
        <v>6</v>
      </c>
      <c r="B93" s="4" t="inlineStr">
        <is>
          <t>2024-07</t>
        </is>
      </c>
      <c r="C93" s="4" t="n">
        <v>41244.37</v>
      </c>
      <c r="D93" s="4" t="n">
        <v>29424.05</v>
      </c>
      <c r="E93" s="4" t="n">
        <v>140.17</v>
      </c>
    </row>
    <row r="94">
      <c r="A94" s="4" t="n">
        <v>6</v>
      </c>
      <c r="B94" s="4" t="inlineStr">
        <is>
          <t>2024-08</t>
        </is>
      </c>
      <c r="C94" s="4" t="n">
        <v>37092.188</v>
      </c>
      <c r="D94" s="4" t="n">
        <v>23834.27</v>
      </c>
      <c r="E94" s="4" t="n">
        <v>155.63</v>
      </c>
    </row>
    <row r="95">
      <c r="A95" s="4" t="n">
        <v>6</v>
      </c>
      <c r="B95" s="4" t="inlineStr">
        <is>
          <t>2024-09</t>
        </is>
      </c>
      <c r="C95" s="4" t="n">
        <v>39894.331</v>
      </c>
      <c r="D95" s="4" t="n">
        <v>24820.87</v>
      </c>
      <c r="E95" s="4" t="n">
        <v>160.73</v>
      </c>
    </row>
    <row r="96">
      <c r="A96" s="4" t="n">
        <v>6</v>
      </c>
      <c r="B96" s="4" t="inlineStr">
        <is>
          <t>2024-10</t>
        </is>
      </c>
      <c r="C96" s="4" t="n">
        <v>42539.95</v>
      </c>
      <c r="D96" s="4" t="n">
        <v>27445.58</v>
      </c>
      <c r="E96" s="4" t="n">
        <v>155</v>
      </c>
    </row>
    <row r="97">
      <c r="A97" s="4" t="n">
        <v>6</v>
      </c>
      <c r="B97" s="4" t="inlineStr">
        <is>
          <t>2024-11</t>
        </is>
      </c>
      <c r="C97" s="4" t="n">
        <v>42170.189</v>
      </c>
      <c r="D97" s="4" t="n">
        <v>30189.1</v>
      </c>
      <c r="E97" s="4" t="n">
        <v>139.69</v>
      </c>
    </row>
    <row r="98">
      <c r="A98" s="4" t="n">
        <v>6</v>
      </c>
      <c r="B98" s="4" t="inlineStr">
        <is>
          <t>2024-12</t>
        </is>
      </c>
      <c r="C98" s="4" t="n">
        <v>42941.484</v>
      </c>
      <c r="D98" s="4" t="n">
        <v>29440.61</v>
      </c>
      <c r="E98" s="4" t="n">
        <v>145.86</v>
      </c>
    </row>
    <row r="99">
      <c r="A99" s="4" t="n">
        <v>6</v>
      </c>
      <c r="B99" s="4" t="inlineStr">
        <is>
          <t>2025-01</t>
        </is>
      </c>
      <c r="C99" s="4" t="n">
        <v>40063.707</v>
      </c>
      <c r="D99" s="4" t="n">
        <v>26319.43</v>
      </c>
      <c r="E99" s="4" t="n">
        <v>152.22</v>
      </c>
    </row>
    <row r="100">
      <c r="A100" s="4" t="n">
        <v>6</v>
      </c>
      <c r="B100" s="4" t="inlineStr">
        <is>
          <t>2025-02</t>
        </is>
      </c>
      <c r="C100" s="4" t="n">
        <v>37033.368</v>
      </c>
      <c r="D100" s="4" t="n">
        <v>23435.69</v>
      </c>
      <c r="E100" s="4" t="n">
        <v>158.02</v>
      </c>
    </row>
    <row r="101">
      <c r="A101" s="4" t="n">
        <v>6</v>
      </c>
      <c r="B101" s="4" t="inlineStr">
        <is>
          <t>2025-03</t>
        </is>
      </c>
      <c r="C101" s="4" t="n">
        <v>40959.528</v>
      </c>
      <c r="D101" s="4" t="n">
        <v>26765.11</v>
      </c>
      <c r="E101" s="4" t="n">
        <v>153.03</v>
      </c>
    </row>
    <row r="102">
      <c r="A102" s="4" t="n">
        <v>6</v>
      </c>
      <c r="B102" s="4" t="inlineStr">
        <is>
          <t>2025-04</t>
        </is>
      </c>
      <c r="C102" s="4" t="n">
        <v>40273.983</v>
      </c>
      <c r="D102" s="4" t="n">
        <v>25916.7</v>
      </c>
      <c r="E102" s="4" t="n">
        <v>155.4</v>
      </c>
    </row>
    <row r="103">
      <c r="A103" s="4" t="n">
        <v>6</v>
      </c>
      <c r="B103" s="4" t="inlineStr">
        <is>
          <t>2025-05</t>
        </is>
      </c>
      <c r="C103" s="4" t="n">
        <v>40882.736</v>
      </c>
      <c r="D103" s="4" t="n">
        <v>28974.34</v>
      </c>
      <c r="E103" s="4" t="n">
        <v>141.1</v>
      </c>
    </row>
    <row r="104">
      <c r="A104" s="4" t="n">
        <v>6</v>
      </c>
      <c r="B104" s="4" t="inlineStr">
        <is>
          <t>2025-06</t>
        </is>
      </c>
      <c r="C104" s="4" t="n">
        <v>41320.08</v>
      </c>
      <c r="D104" s="4" t="n">
        <v>27367.65</v>
      </c>
      <c r="E104" s="4" t="n">
        <v>150.98</v>
      </c>
    </row>
    <row r="105">
      <c r="A105" s="4" t="n">
        <v>6</v>
      </c>
      <c r="B105" s="4" t="inlineStr">
        <is>
          <t>2025-07</t>
        </is>
      </c>
      <c r="C105" s="4" t="n">
        <v>42928.142</v>
      </c>
      <c r="D105" s="4" t="n">
        <v>30462.95</v>
      </c>
      <c r="E105" s="4" t="n">
        <v>140.92</v>
      </c>
    </row>
    <row r="106">
      <c r="A106" s="4" t="n">
        <v>6</v>
      </c>
      <c r="B106" s="4" t="inlineStr">
        <is>
          <t>2025-08</t>
        </is>
      </c>
      <c r="C106" s="4" t="n">
        <v>43937.076</v>
      </c>
      <c r="D106" s="4" t="n">
        <v>26914.6</v>
      </c>
      <c r="E106" s="4" t="n">
        <v>163.25</v>
      </c>
    </row>
    <row r="107">
      <c r="A107" s="4" t="n">
        <v>6</v>
      </c>
      <c r="B107" s="4" t="inlineStr">
        <is>
          <t>2025-09</t>
        </is>
      </c>
      <c r="C107" s="4" t="n">
        <v>38167.555</v>
      </c>
      <c r="D107" s="4" t="n">
        <v>26381.4</v>
      </c>
      <c r="E107" s="4" t="n">
        <v>144.68</v>
      </c>
    </row>
    <row r="108">
      <c r="A108" s="4" t="n">
        <v>6</v>
      </c>
      <c r="B108" s="4" t="inlineStr">
        <is>
          <t>2025-10</t>
        </is>
      </c>
      <c r="C108" s="4" t="n">
        <v>42172.956</v>
      </c>
      <c r="D108" s="4" t="n">
        <v>29485.89</v>
      </c>
      <c r="E108" s="4" t="n">
        <v>143.03</v>
      </c>
    </row>
    <row r="109">
      <c r="A109" s="4" t="n">
        <v>6</v>
      </c>
      <c r="B109" s="4" t="inlineStr">
        <is>
          <t>2025-11</t>
        </is>
      </c>
      <c r="C109" s="4" t="n">
        <v>40480.75</v>
      </c>
      <c r="D109" s="4" t="n">
        <v>32137.72</v>
      </c>
      <c r="E109" s="4" t="n">
        <v>125.96</v>
      </c>
    </row>
    <row r="110">
      <c r="A110" s="4" t="n">
        <v>7</v>
      </c>
      <c r="B110" s="4" t="inlineStr">
        <is>
          <t>2024-06</t>
        </is>
      </c>
      <c r="C110" s="4" t="n">
        <v>39741.585</v>
      </c>
      <c r="D110" s="4" t="n">
        <v>23780.14</v>
      </c>
      <c r="E110" s="4" t="n">
        <v>167.12</v>
      </c>
    </row>
    <row r="111">
      <c r="A111" s="4" t="n">
        <v>7</v>
      </c>
      <c r="B111" s="4" t="inlineStr">
        <is>
          <t>2024-07</t>
        </is>
      </c>
      <c r="C111" s="4" t="n">
        <v>40292.185</v>
      </c>
      <c r="D111" s="4" t="n">
        <v>28157.77</v>
      </c>
      <c r="E111" s="4" t="n">
        <v>143.09</v>
      </c>
    </row>
    <row r="112">
      <c r="A112" s="4" t="n">
        <v>7</v>
      </c>
      <c r="B112" s="4" t="inlineStr">
        <is>
          <t>2024-08</t>
        </is>
      </c>
      <c r="C112" s="4" t="n">
        <v>41858.858</v>
      </c>
      <c r="D112" s="4" t="n">
        <v>25927.58</v>
      </c>
      <c r="E112" s="4" t="n">
        <v>161.45</v>
      </c>
    </row>
    <row r="113">
      <c r="A113" s="4" t="n">
        <v>7</v>
      </c>
      <c r="B113" s="4" t="inlineStr">
        <is>
          <t>2024-09</t>
        </is>
      </c>
      <c r="C113" s="4" t="n">
        <v>38191.208</v>
      </c>
      <c r="D113" s="4" t="n">
        <v>26506.04</v>
      </c>
      <c r="E113" s="4" t="n">
        <v>144.08</v>
      </c>
    </row>
    <row r="114">
      <c r="A114" s="4" t="n">
        <v>7</v>
      </c>
      <c r="B114" s="4" t="inlineStr">
        <is>
          <t>2024-10</t>
        </is>
      </c>
      <c r="C114" s="4" t="n">
        <v>37919.495</v>
      </c>
      <c r="D114" s="4" t="n">
        <v>26636.36</v>
      </c>
      <c r="E114" s="4" t="n">
        <v>142.36</v>
      </c>
    </row>
    <row r="115">
      <c r="A115" s="4" t="n">
        <v>7</v>
      </c>
      <c r="B115" s="4" t="inlineStr">
        <is>
          <t>2024-11</t>
        </is>
      </c>
      <c r="C115" s="4" t="n">
        <v>37956.014</v>
      </c>
      <c r="D115" s="4" t="n">
        <v>29957.83</v>
      </c>
      <c r="E115" s="4" t="n">
        <v>126.7</v>
      </c>
    </row>
    <row r="116">
      <c r="A116" s="4" t="n">
        <v>7</v>
      </c>
      <c r="B116" s="4" t="inlineStr">
        <is>
          <t>2024-12</t>
        </is>
      </c>
      <c r="C116" s="4" t="n">
        <v>42128.179</v>
      </c>
      <c r="D116" s="4" t="n">
        <v>30193.6</v>
      </c>
      <c r="E116" s="4" t="n">
        <v>139.53</v>
      </c>
    </row>
    <row r="117">
      <c r="A117" s="4" t="n">
        <v>7</v>
      </c>
      <c r="B117" s="4" t="inlineStr">
        <is>
          <t>2025-01</t>
        </is>
      </c>
      <c r="C117" s="4" t="n">
        <v>40023.786</v>
      </c>
      <c r="D117" s="4" t="n">
        <v>27317.68</v>
      </c>
      <c r="E117" s="4" t="n">
        <v>146.51</v>
      </c>
    </row>
    <row r="118">
      <c r="A118" s="4" t="n">
        <v>7</v>
      </c>
      <c r="B118" s="4" t="inlineStr">
        <is>
          <t>2025-02</t>
        </is>
      </c>
      <c r="C118" s="4" t="n">
        <v>37040.817</v>
      </c>
      <c r="D118" s="4" t="n">
        <v>25461.95</v>
      </c>
      <c r="E118" s="4" t="n">
        <v>145.48</v>
      </c>
    </row>
    <row r="119">
      <c r="A119" s="4" t="n">
        <v>7</v>
      </c>
      <c r="B119" s="4" t="inlineStr">
        <is>
          <t>2025-03</t>
        </is>
      </c>
      <c r="C119" s="4" t="n">
        <v>41128.912</v>
      </c>
      <c r="D119" s="4" t="n">
        <v>24990.49</v>
      </c>
      <c r="E119" s="4" t="n">
        <v>164.58</v>
      </c>
    </row>
    <row r="120">
      <c r="A120" s="4" t="n">
        <v>7</v>
      </c>
      <c r="B120" s="4" t="inlineStr">
        <is>
          <t>2025-04</t>
        </is>
      </c>
      <c r="C120" s="4" t="n">
        <v>40543.099</v>
      </c>
      <c r="D120" s="4" t="n">
        <v>25673.87</v>
      </c>
      <c r="E120" s="4" t="n">
        <v>157.92</v>
      </c>
    </row>
    <row r="121">
      <c r="A121" s="4" t="n">
        <v>7</v>
      </c>
      <c r="B121" s="4" t="inlineStr">
        <is>
          <t>2025-05</t>
        </is>
      </c>
      <c r="C121" s="4" t="n">
        <v>39228.418</v>
      </c>
      <c r="D121" s="4" t="n">
        <v>27183.9</v>
      </c>
      <c r="E121" s="4" t="n">
        <v>144.31</v>
      </c>
    </row>
    <row r="122">
      <c r="A122" s="4" t="n">
        <v>7</v>
      </c>
      <c r="B122" s="4" t="inlineStr">
        <is>
          <t>2025-06</t>
        </is>
      </c>
      <c r="C122" s="4" t="n">
        <v>41089.554</v>
      </c>
      <c r="D122" s="4" t="n">
        <v>25765.57</v>
      </c>
      <c r="E122" s="4" t="n">
        <v>159.47</v>
      </c>
    </row>
    <row r="123">
      <c r="A123" s="4" t="n">
        <v>7</v>
      </c>
      <c r="B123" s="4" t="inlineStr">
        <is>
          <t>2025-07</t>
        </is>
      </c>
      <c r="C123" s="4" t="n">
        <v>38521.114</v>
      </c>
      <c r="D123" s="4" t="n">
        <v>32020.9</v>
      </c>
      <c r="E123" s="4" t="n">
        <v>120.3</v>
      </c>
    </row>
    <row r="124">
      <c r="A124" s="4" t="n">
        <v>7</v>
      </c>
      <c r="B124" s="4" t="inlineStr">
        <is>
          <t>2025-08</t>
        </is>
      </c>
      <c r="C124" s="4" t="n">
        <v>41646.878</v>
      </c>
      <c r="D124" s="4" t="n">
        <v>28374.9</v>
      </c>
      <c r="E124" s="4" t="n">
        <v>146.77</v>
      </c>
    </row>
    <row r="125">
      <c r="A125" s="4" t="n">
        <v>7</v>
      </c>
      <c r="B125" s="4" t="inlineStr">
        <is>
          <t>2025-09</t>
        </is>
      </c>
      <c r="C125" s="4" t="n">
        <v>39529.991</v>
      </c>
      <c r="D125" s="4" t="n">
        <v>23359.63</v>
      </c>
      <c r="E125" s="4" t="n">
        <v>169.22</v>
      </c>
    </row>
    <row r="126">
      <c r="A126" s="4" t="n">
        <v>7</v>
      </c>
      <c r="B126" s="4" t="inlineStr">
        <is>
          <t>2025-10</t>
        </is>
      </c>
      <c r="C126" s="4" t="n">
        <v>38625.162</v>
      </c>
      <c r="D126" s="4" t="n">
        <v>28311.69</v>
      </c>
      <c r="E126" s="4" t="n">
        <v>136.43</v>
      </c>
    </row>
    <row r="127">
      <c r="A127" s="4" t="n">
        <v>7</v>
      </c>
      <c r="B127" s="4" t="inlineStr">
        <is>
          <t>2025-11</t>
        </is>
      </c>
      <c r="C127" s="4" t="n">
        <v>41279.084</v>
      </c>
      <c r="D127" s="4" t="n">
        <v>33782.61</v>
      </c>
      <c r="E127" s="4" t="n">
        <v>122.19</v>
      </c>
    </row>
    <row r="128">
      <c r="A128" s="4" t="n">
        <v>8</v>
      </c>
      <c r="B128" s="4" t="inlineStr">
        <is>
          <t>2024-06</t>
        </is>
      </c>
      <c r="C128" s="4" t="n">
        <v>40735.967</v>
      </c>
      <c r="D128" s="4" t="n">
        <v>24159.19</v>
      </c>
      <c r="E128" s="4" t="n">
        <v>168.61</v>
      </c>
    </row>
    <row r="129">
      <c r="A129" s="4" t="n">
        <v>8</v>
      </c>
      <c r="B129" s="4" t="inlineStr">
        <is>
          <t>2024-07</t>
        </is>
      </c>
      <c r="C129" s="4" t="n">
        <v>41701.353</v>
      </c>
      <c r="D129" s="4" t="n">
        <v>26746.85</v>
      </c>
      <c r="E129" s="4" t="n">
        <v>155.91</v>
      </c>
    </row>
    <row r="130">
      <c r="A130" s="4" t="n">
        <v>8</v>
      </c>
      <c r="B130" s="4" t="inlineStr">
        <is>
          <t>2024-08</t>
        </is>
      </c>
      <c r="C130" s="4" t="n">
        <v>42858.073</v>
      </c>
      <c r="D130" s="4" t="n">
        <v>26255.7</v>
      </c>
      <c r="E130" s="4" t="n">
        <v>163.23</v>
      </c>
    </row>
    <row r="131">
      <c r="A131" s="4" t="n">
        <v>8</v>
      </c>
      <c r="B131" s="4" t="inlineStr">
        <is>
          <t>2024-09</t>
        </is>
      </c>
      <c r="C131" s="4" t="n">
        <v>38589.643</v>
      </c>
      <c r="D131" s="4" t="n">
        <v>22900.95</v>
      </c>
      <c r="E131" s="4" t="n">
        <v>168.51</v>
      </c>
    </row>
    <row r="132">
      <c r="A132" s="4" t="n">
        <v>8</v>
      </c>
      <c r="B132" s="4" t="inlineStr">
        <is>
          <t>2024-10</t>
        </is>
      </c>
      <c r="C132" s="4" t="n">
        <v>41236.504</v>
      </c>
      <c r="D132" s="4" t="n">
        <v>26711.85</v>
      </c>
      <c r="E132" s="4" t="n">
        <v>154.38</v>
      </c>
    </row>
    <row r="133">
      <c r="A133" s="4" t="n">
        <v>8</v>
      </c>
      <c r="B133" s="4" t="inlineStr">
        <is>
          <t>2024-11</t>
        </is>
      </c>
      <c r="C133" s="4" t="n">
        <v>39968.855</v>
      </c>
      <c r="D133" s="4" t="n">
        <v>31841.11</v>
      </c>
      <c r="E133" s="4" t="n">
        <v>125.53</v>
      </c>
    </row>
    <row r="134">
      <c r="A134" s="4" t="n">
        <v>8</v>
      </c>
      <c r="B134" s="4" t="inlineStr">
        <is>
          <t>2024-12</t>
        </is>
      </c>
      <c r="C134" s="4" t="n">
        <v>39643.416</v>
      </c>
      <c r="D134" s="4" t="n">
        <v>29210.09</v>
      </c>
      <c r="E134" s="4" t="n">
        <v>135.72</v>
      </c>
    </row>
    <row r="135">
      <c r="A135" s="4" t="n">
        <v>8</v>
      </c>
      <c r="B135" s="4" t="inlineStr">
        <is>
          <t>2025-01</t>
        </is>
      </c>
      <c r="C135" s="4" t="n">
        <v>43258.997</v>
      </c>
      <c r="D135" s="4" t="n">
        <v>25111.31</v>
      </c>
      <c r="E135" s="4" t="n">
        <v>172.27</v>
      </c>
    </row>
    <row r="136">
      <c r="A136" s="4" t="n">
        <v>8</v>
      </c>
      <c r="B136" s="4" t="inlineStr">
        <is>
          <t>2025-02</t>
        </is>
      </c>
      <c r="C136" s="4" t="n">
        <v>36496.308</v>
      </c>
      <c r="D136" s="4" t="n">
        <v>21796.78</v>
      </c>
      <c r="E136" s="4" t="n">
        <v>167.44</v>
      </c>
    </row>
    <row r="137">
      <c r="A137" s="4" t="n">
        <v>8</v>
      </c>
      <c r="B137" s="4" t="inlineStr">
        <is>
          <t>2025-03</t>
        </is>
      </c>
      <c r="C137" s="4" t="n">
        <v>42470.799</v>
      </c>
      <c r="D137" s="4" t="n">
        <v>26217.6</v>
      </c>
      <c r="E137" s="4" t="n">
        <v>161.99</v>
      </c>
    </row>
    <row r="138">
      <c r="A138" s="4" t="n">
        <v>8</v>
      </c>
      <c r="B138" s="4" t="inlineStr">
        <is>
          <t>2025-04</t>
        </is>
      </c>
      <c r="C138" s="4" t="n">
        <v>40021.295</v>
      </c>
      <c r="D138" s="4" t="n">
        <v>25696.69</v>
      </c>
      <c r="E138" s="4" t="n">
        <v>155.74</v>
      </c>
    </row>
    <row r="139">
      <c r="A139" s="4" t="n">
        <v>8</v>
      </c>
      <c r="B139" s="4" t="inlineStr">
        <is>
          <t>2025-05</t>
        </is>
      </c>
      <c r="C139" s="4" t="n">
        <v>41327.216</v>
      </c>
      <c r="D139" s="4" t="n">
        <v>27517.4</v>
      </c>
      <c r="E139" s="4" t="n">
        <v>150.19</v>
      </c>
    </row>
    <row r="140">
      <c r="A140" s="4" t="n">
        <v>8</v>
      </c>
      <c r="B140" s="4" t="inlineStr">
        <is>
          <t>2025-06</t>
        </is>
      </c>
      <c r="C140" s="4" t="n">
        <v>41062.14</v>
      </c>
      <c r="D140" s="4" t="n">
        <v>27278.67</v>
      </c>
      <c r="E140" s="4" t="n">
        <v>150.53</v>
      </c>
    </row>
    <row r="141">
      <c r="A141" s="4" t="n">
        <v>8</v>
      </c>
      <c r="B141" s="4" t="inlineStr">
        <is>
          <t>2025-07</t>
        </is>
      </c>
      <c r="C141" s="4" t="n">
        <v>44324.389</v>
      </c>
      <c r="D141" s="4" t="n">
        <v>31065.38</v>
      </c>
      <c r="E141" s="4" t="n">
        <v>142.68</v>
      </c>
    </row>
    <row r="142">
      <c r="A142" s="4" t="n">
        <v>8</v>
      </c>
      <c r="B142" s="4" t="inlineStr">
        <is>
          <t>2025-08</t>
        </is>
      </c>
      <c r="C142" s="4" t="n">
        <v>40852.859</v>
      </c>
      <c r="D142" s="4" t="n">
        <v>29178.91</v>
      </c>
      <c r="E142" s="4" t="n">
        <v>140.01</v>
      </c>
    </row>
    <row r="143">
      <c r="A143" s="4" t="n">
        <v>8</v>
      </c>
      <c r="B143" s="4" t="inlineStr">
        <is>
          <t>2025-09</t>
        </is>
      </c>
      <c r="C143" s="4" t="n">
        <v>36547.041</v>
      </c>
      <c r="D143" s="4" t="n">
        <v>26364.17</v>
      </c>
      <c r="E143" s="4" t="n">
        <v>138.62</v>
      </c>
    </row>
    <row r="144">
      <c r="A144" s="4" t="n">
        <v>8</v>
      </c>
      <c r="B144" s="4" t="inlineStr">
        <is>
          <t>2025-10</t>
        </is>
      </c>
      <c r="C144" s="4" t="n">
        <v>41218.165</v>
      </c>
      <c r="D144" s="4" t="n">
        <v>28291.87</v>
      </c>
      <c r="E144" s="4" t="n">
        <v>145.69</v>
      </c>
    </row>
    <row r="145">
      <c r="A145" s="4" t="n">
        <v>8</v>
      </c>
      <c r="B145" s="4" t="inlineStr">
        <is>
          <t>2025-11</t>
        </is>
      </c>
      <c r="C145" s="4" t="n">
        <v>38360.02</v>
      </c>
      <c r="D145" s="4" t="n">
        <v>31699.37</v>
      </c>
      <c r="E145" s="4" t="n">
        <v>121.01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location_id</t>
        </is>
      </c>
      <c r="B1" s="3" t="inlineStr">
        <is>
          <t>location_name</t>
        </is>
      </c>
      <c r="C1" s="3" t="inlineStr">
        <is>
          <t>open_date</t>
        </is>
      </c>
      <c r="D1" s="3" t="inlineStr">
        <is>
          <t>total_orders</t>
        </is>
      </c>
      <c r="E1" s="3" t="inlineStr">
        <is>
          <t>total_revenue</t>
        </is>
      </c>
    </row>
    <row r="2">
      <c r="A2" s="4" t="n">
        <v>8</v>
      </c>
      <c r="B2" s="4" t="inlineStr">
        <is>
          <t>Lake Roberto Location</t>
        </is>
      </c>
      <c r="C2" s="4" t="inlineStr">
        <is>
          <t>2023-09-06</t>
        </is>
      </c>
      <c r="D2" s="4" t="n">
        <v>12790</v>
      </c>
      <c r="E2" s="4" t="n">
        <v>488043.89</v>
      </c>
    </row>
    <row r="3">
      <c r="A3" s="4" t="n">
        <v>1</v>
      </c>
      <c r="B3" s="4" t="inlineStr">
        <is>
          <t>North Judithbury Location</t>
        </is>
      </c>
      <c r="C3" s="4" t="inlineStr">
        <is>
          <t>2023-08-22</t>
        </is>
      </c>
      <c r="D3" s="4" t="n">
        <v>13069</v>
      </c>
      <c r="E3" s="4" t="n">
        <v>499230.8</v>
      </c>
    </row>
    <row r="4">
      <c r="A4" s="4" t="n">
        <v>3</v>
      </c>
      <c r="B4" s="4" t="inlineStr">
        <is>
          <t>New Roberttown Location</t>
        </is>
      </c>
      <c r="C4" s="4" t="inlineStr">
        <is>
          <t>2023-08-18</t>
        </is>
      </c>
      <c r="D4" s="4" t="n">
        <v>12963</v>
      </c>
      <c r="E4" s="4" t="n">
        <v>497874.61</v>
      </c>
    </row>
    <row r="5">
      <c r="A5" s="4" t="n">
        <v>7</v>
      </c>
      <c r="B5" s="4" t="inlineStr">
        <is>
          <t>Lisatown Location</t>
        </is>
      </c>
      <c r="C5" s="4" t="inlineStr">
        <is>
          <t>2023-01-06</t>
        </is>
      </c>
      <c r="D5" s="4" t="n">
        <v>12887</v>
      </c>
      <c r="E5" s="4" t="n">
        <v>493402.51</v>
      </c>
    </row>
    <row r="6">
      <c r="A6" s="4" t="n">
        <v>6</v>
      </c>
      <c r="B6" s="4" t="inlineStr">
        <is>
          <t>Robinsonshire Location</t>
        </is>
      </c>
      <c r="C6" s="4" t="inlineStr">
        <is>
          <t>2022-08-23</t>
        </is>
      </c>
      <c r="D6" s="4" t="n">
        <v>12896</v>
      </c>
      <c r="E6" s="4" t="n">
        <v>493605.65</v>
      </c>
    </row>
    <row r="7">
      <c r="A7" s="4" t="n">
        <v>5</v>
      </c>
      <c r="B7" s="4" t="inlineStr">
        <is>
          <t>Lake Debra Location</t>
        </is>
      </c>
      <c r="C7" s="4" t="inlineStr">
        <is>
          <t>2022-03-28</t>
        </is>
      </c>
      <c r="D7" s="4" t="n">
        <v>13074</v>
      </c>
      <c r="E7" s="4" t="n">
        <v>499640.39</v>
      </c>
    </row>
    <row r="8">
      <c r="A8" s="4" t="n">
        <v>4</v>
      </c>
      <c r="B8" s="4" t="inlineStr">
        <is>
          <t>East Jessetown Location</t>
        </is>
      </c>
      <c r="C8" s="4" t="inlineStr">
        <is>
          <t>2022-01-01</t>
        </is>
      </c>
      <c r="D8" s="4" t="n">
        <v>13330</v>
      </c>
      <c r="E8" s="4" t="n">
        <v>508931.32</v>
      </c>
    </row>
    <row r="9">
      <c r="A9" s="4" t="n">
        <v>2</v>
      </c>
      <c r="B9" s="4" t="inlineStr">
        <is>
          <t>East Jill Location</t>
        </is>
      </c>
      <c r="C9" s="4" t="inlineStr">
        <is>
          <t>2021-07-25</t>
        </is>
      </c>
      <c r="D9" s="4" t="n">
        <v>12989</v>
      </c>
      <c r="E9" s="4" t="n">
        <v>497386.85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location_id</t>
        </is>
      </c>
      <c r="B1" s="3" t="inlineStr">
        <is>
          <t>month</t>
        </is>
      </c>
      <c r="C1" s="3" t="inlineStr">
        <is>
          <t>revenue</t>
        </is>
      </c>
    </row>
    <row r="2">
      <c r="A2" s="4" t="n">
        <v>1</v>
      </c>
      <c r="B2" s="4" t="inlineStr">
        <is>
          <t>2024-06</t>
        </is>
      </c>
      <c r="C2" s="4" t="n">
        <v>24078.18</v>
      </c>
    </row>
    <row r="3">
      <c r="A3" s="4" t="n">
        <v>1</v>
      </c>
      <c r="B3" s="4" t="inlineStr">
        <is>
          <t>2024-07</t>
        </is>
      </c>
      <c r="C3" s="4" t="n">
        <v>28814.22</v>
      </c>
    </row>
    <row r="4">
      <c r="A4" s="4" t="n">
        <v>1</v>
      </c>
      <c r="B4" s="4" t="inlineStr">
        <is>
          <t>2024-08</t>
        </is>
      </c>
      <c r="C4" s="4" t="n">
        <v>26216.54</v>
      </c>
    </row>
    <row r="5">
      <c r="A5" s="4" t="n">
        <v>1</v>
      </c>
      <c r="B5" s="4" t="inlineStr">
        <is>
          <t>2024-09</t>
        </is>
      </c>
      <c r="C5" s="4" t="n">
        <v>23516.6</v>
      </c>
    </row>
    <row r="6">
      <c r="A6" s="4" t="n">
        <v>1</v>
      </c>
      <c r="B6" s="4" t="inlineStr">
        <is>
          <t>2024-10</t>
        </is>
      </c>
      <c r="C6" s="4" t="n">
        <v>25407.05</v>
      </c>
    </row>
    <row r="7">
      <c r="A7" s="4" t="n">
        <v>1</v>
      </c>
      <c r="B7" s="4" t="inlineStr">
        <is>
          <t>2024-11</t>
        </is>
      </c>
      <c r="C7" s="4" t="n">
        <v>29475.84</v>
      </c>
    </row>
    <row r="8">
      <c r="A8" s="4" t="n">
        <v>1</v>
      </c>
      <c r="B8" s="4" t="inlineStr">
        <is>
          <t>2024-12</t>
        </is>
      </c>
      <c r="C8" s="4" t="n">
        <v>30772.03</v>
      </c>
    </row>
    <row r="9">
      <c r="A9" s="4" t="n">
        <v>1</v>
      </c>
      <c r="B9" s="4" t="inlineStr">
        <is>
          <t>2025-01</t>
        </is>
      </c>
      <c r="C9" s="4" t="n">
        <v>28161.83</v>
      </c>
    </row>
    <row r="10">
      <c r="A10" s="4" t="n">
        <v>1</v>
      </c>
      <c r="B10" s="4" t="inlineStr">
        <is>
          <t>2025-02</t>
        </is>
      </c>
      <c r="C10" s="4" t="n">
        <v>26182.62</v>
      </c>
    </row>
    <row r="11">
      <c r="A11" s="4" t="n">
        <v>1</v>
      </c>
      <c r="B11" s="4" t="inlineStr">
        <is>
          <t>2025-03</t>
        </is>
      </c>
      <c r="C11" s="4" t="n">
        <v>26542.89</v>
      </c>
    </row>
    <row r="12">
      <c r="A12" s="4" t="n">
        <v>1</v>
      </c>
      <c r="B12" s="4" t="inlineStr">
        <is>
          <t>2025-04</t>
        </is>
      </c>
      <c r="C12" s="4" t="n">
        <v>25918.73</v>
      </c>
    </row>
    <row r="13">
      <c r="A13" s="4" t="n">
        <v>1</v>
      </c>
      <c r="B13" s="4" t="inlineStr">
        <is>
          <t>2025-05</t>
        </is>
      </c>
      <c r="C13" s="4" t="n">
        <v>28342.83</v>
      </c>
    </row>
    <row r="14">
      <c r="A14" s="4" t="n">
        <v>1</v>
      </c>
      <c r="B14" s="4" t="inlineStr">
        <is>
          <t>2025-06</t>
        </is>
      </c>
      <c r="C14" s="4" t="n">
        <v>27590.35</v>
      </c>
    </row>
    <row r="15">
      <c r="A15" s="4" t="n">
        <v>1</v>
      </c>
      <c r="B15" s="4" t="inlineStr">
        <is>
          <t>2025-07</t>
        </is>
      </c>
      <c r="C15" s="4" t="n">
        <v>32059.84</v>
      </c>
    </row>
    <row r="16">
      <c r="A16" s="4" t="n">
        <v>1</v>
      </c>
      <c r="B16" s="4" t="inlineStr">
        <is>
          <t>2025-08</t>
        </is>
      </c>
      <c r="C16" s="4" t="n">
        <v>30255.52</v>
      </c>
    </row>
    <row r="17">
      <c r="A17" s="4" t="n">
        <v>1</v>
      </c>
      <c r="B17" s="4" t="inlineStr">
        <is>
          <t>2025-09</t>
        </is>
      </c>
      <c r="C17" s="4" t="n">
        <v>26220.38</v>
      </c>
    </row>
    <row r="18">
      <c r="A18" s="4" t="n">
        <v>1</v>
      </c>
      <c r="B18" s="4" t="inlineStr">
        <is>
          <t>2025-10</t>
        </is>
      </c>
      <c r="C18" s="4" t="n">
        <v>29459.11</v>
      </c>
    </row>
    <row r="19">
      <c r="A19" s="4" t="n">
        <v>1</v>
      </c>
      <c r="B19" s="4" t="inlineStr">
        <is>
          <t>2025-11</t>
        </is>
      </c>
      <c r="C19" s="4" t="n">
        <v>30216.24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month</t>
        </is>
      </c>
      <c r="B1" s="3" t="inlineStr">
        <is>
          <t>forecasted_revenue</t>
        </is>
      </c>
    </row>
    <row r="2">
      <c r="A2" s="4" t="inlineStr">
        <is>
          <t>Forecast +1</t>
        </is>
      </c>
      <c r="B2" s="4" t="n">
        <v>34370.95333333333</v>
      </c>
    </row>
    <row r="3">
      <c r="A3" s="4" t="inlineStr">
        <is>
          <t>Forecast +2</t>
        </is>
      </c>
      <c r="B3" s="4" t="n">
        <v>31760.75333333334</v>
      </c>
    </row>
    <row r="4">
      <c r="A4" s="4" t="inlineStr">
        <is>
          <t>Forecast +3</t>
        </is>
      </c>
      <c r="B4" s="4" t="n">
        <v>29781.54333333333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2026-09-10T21:45:34Z</dcterms:created>
  <dcterms:modified xsi:type="dcterms:W3CDTF">2026-09-10T21:45:34Z</dcterms:modified>
</cp:coreProperties>
</file>